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z\source\repos\MSO5000 LCR\MSO5000-LCR-meter\MSO5000 LCR\LT-Spice test simualtion\Export\"/>
    </mc:Choice>
  </mc:AlternateContent>
  <xr:revisionPtr revIDLastSave="0" documentId="13_ncr:1_{47B4D00C-35D6-4A19-8C49-DB20D9F90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3" i="1"/>
  <c r="H4" i="1"/>
  <c r="J4" i="1"/>
  <c r="H5" i="1"/>
  <c r="J5" i="1"/>
  <c r="H6" i="1"/>
  <c r="J6" i="1"/>
  <c r="H7" i="1"/>
  <c r="J7" i="1"/>
  <c r="H8" i="1"/>
  <c r="J8" i="1"/>
  <c r="H9" i="1"/>
  <c r="J9" i="1"/>
  <c r="H10" i="1"/>
  <c r="J10" i="1"/>
  <c r="H11" i="1"/>
  <c r="J11" i="1"/>
  <c r="H12" i="1"/>
  <c r="J12" i="1"/>
  <c r="H13" i="1"/>
  <c r="J13" i="1"/>
  <c r="H14" i="1"/>
  <c r="J14" i="1"/>
  <c r="H15" i="1"/>
  <c r="J15" i="1"/>
  <c r="H16" i="1"/>
  <c r="J16" i="1"/>
  <c r="H17" i="1"/>
  <c r="J17" i="1"/>
  <c r="H18" i="1"/>
  <c r="J18" i="1"/>
  <c r="H19" i="1"/>
  <c r="J19" i="1"/>
  <c r="H20" i="1"/>
  <c r="J20" i="1"/>
  <c r="H21" i="1"/>
  <c r="J21" i="1"/>
  <c r="H22" i="1"/>
  <c r="J22" i="1"/>
  <c r="H23" i="1"/>
  <c r="J23" i="1"/>
  <c r="H24" i="1"/>
  <c r="J24" i="1"/>
  <c r="H25" i="1"/>
  <c r="J25" i="1"/>
  <c r="H26" i="1"/>
  <c r="J26" i="1"/>
  <c r="H27" i="1"/>
  <c r="J27" i="1"/>
  <c r="H28" i="1"/>
  <c r="J28" i="1"/>
  <c r="H29" i="1"/>
  <c r="J29" i="1"/>
  <c r="H30" i="1"/>
  <c r="J30" i="1"/>
  <c r="H31" i="1"/>
  <c r="J31" i="1"/>
  <c r="H32" i="1"/>
  <c r="J32" i="1"/>
  <c r="H33" i="1"/>
  <c r="J33" i="1"/>
  <c r="H34" i="1"/>
  <c r="J34" i="1"/>
  <c r="H35" i="1"/>
  <c r="J35" i="1"/>
  <c r="H36" i="1"/>
  <c r="J36" i="1"/>
  <c r="H37" i="1"/>
  <c r="J37" i="1"/>
  <c r="H38" i="1"/>
  <c r="J38" i="1"/>
  <c r="H39" i="1"/>
  <c r="J39" i="1"/>
  <c r="H40" i="1"/>
  <c r="J40" i="1"/>
  <c r="H41" i="1"/>
  <c r="J41" i="1"/>
  <c r="H42" i="1"/>
  <c r="J42" i="1"/>
  <c r="H43" i="1"/>
  <c r="J43" i="1"/>
  <c r="H44" i="1"/>
  <c r="J44" i="1"/>
  <c r="H45" i="1"/>
  <c r="J45" i="1"/>
  <c r="H46" i="1"/>
  <c r="J46" i="1"/>
  <c r="H47" i="1"/>
  <c r="J47" i="1"/>
  <c r="H48" i="1"/>
  <c r="J48" i="1"/>
  <c r="H49" i="1"/>
  <c r="J49" i="1"/>
  <c r="H50" i="1"/>
  <c r="J50" i="1"/>
  <c r="H51" i="1"/>
  <c r="J51" i="1"/>
  <c r="H52" i="1"/>
  <c r="J52" i="1"/>
  <c r="H53" i="1"/>
  <c r="J53" i="1"/>
  <c r="H54" i="1"/>
  <c r="J54" i="1"/>
  <c r="H55" i="1"/>
  <c r="J55" i="1"/>
  <c r="H56" i="1"/>
  <c r="J56" i="1"/>
  <c r="H57" i="1"/>
  <c r="J57" i="1"/>
  <c r="H58" i="1"/>
  <c r="J58" i="1"/>
  <c r="H59" i="1"/>
  <c r="J59" i="1"/>
  <c r="H60" i="1"/>
  <c r="J60" i="1"/>
  <c r="H61" i="1"/>
  <c r="J61" i="1"/>
  <c r="H62" i="1"/>
  <c r="J62" i="1"/>
  <c r="H63" i="1"/>
  <c r="J63" i="1"/>
  <c r="J3" i="1"/>
  <c r="H3" i="1"/>
</calcChain>
</file>

<file path=xl/sharedStrings.xml><?xml version="1.0" encoding="utf-8"?>
<sst xmlns="http://schemas.openxmlformats.org/spreadsheetml/2006/main" count="74" uniqueCount="74">
  <si>
    <t>F_[Hz]</t>
  </si>
  <si>
    <t>φ_[°]</t>
  </si>
  <si>
    <t>|Z|_[Ω]</t>
  </si>
  <si>
    <t>Z_[Ω]</t>
  </si>
  <si>
    <t>R_[Ω]</t>
  </si>
  <si>
    <t>X_[Ω]</t>
  </si>
  <si>
    <t>Ue_[V]</t>
  </si>
  <si>
    <t>Ua_[V]</t>
  </si>
  <si>
    <t>Ie_[A]</t>
  </si>
  <si>
    <t>H_[1]</t>
  </si>
  <si>
    <t>H_[db]</t>
  </si>
  <si>
    <t>Freq.</t>
  </si>
  <si>
    <t>V(ua)</t>
  </si>
  <si>
    <t>(1.39793983721948e+01dB,-3.59999952625910e-02°)</t>
  </si>
  <si>
    <t>(1.39793973693808e+01dB,-4.53213053722177e-02°)</t>
  </si>
  <si>
    <t>(1.39793957800282e+01dB,-5.70561360686419e-02°)</t>
  </si>
  <si>
    <t>(1.39793932610752e+01dB,-7.18294057083290e-02°)</t>
  </si>
  <si>
    <t>(1.39793892688068e+01dB,-9.04278364515667e-02°)</t>
  </si>
  <si>
    <t>(1.39793829414953e+01dB,-1.13841845956355e-01°)</t>
  </si>
  <si>
    <t>(1.39793729134012e+01dB,-1.43318282490011e-01°)</t>
  </si>
  <si>
    <t>(1.39793570199907e+01dB,-1.80426807704769e-01°)</t>
  </si>
  <si>
    <t>(1.39793318307516e+01dB,-2.27143454040473e-01°)</t>
  </si>
  <si>
    <t>(1.39792919087973e+01dB,-2.85955790206758e-01°)</t>
  </si>
  <si>
    <t>(1.39792286375154e+01dB,-3.59995262702100e-01°)</t>
  </si>
  <si>
    <t>(1.39791283611796e+01dB,-4.53203696224872e-01°)</t>
  </si>
  <si>
    <t>(1.39789694386402e+01dB,-5.70542690438718e-01°)</t>
  </si>
  <si>
    <t>(1.39787175753012e+01dB,-7.18256806350839e-01°)</t>
  </si>
  <si>
    <t>(1.39783184287271e+01dB,-9.04204043672608e-01°)</t>
  </si>
  <si>
    <t>(1.39776858991732e+01dB,-1.13827018307454e+00°)</t>
  </si>
  <si>
    <t>(1.39766835960588e+01dB,-1.43288701578731e+00°)</t>
  </si>
  <si>
    <t>(1.39750955263584e+01dB,-1.80367799106520e+00°)</t>
  </si>
  <si>
    <t>(1.39725797944049e+01dB,-2.27025757740500e+00°)</t>
  </si>
  <si>
    <t>(1.39685956106437e+01dB,-2.85721085779558e+00°)</t>
  </si>
  <si>
    <t>(1.39622885823758e+01dB,-3.59527377986818e+00°)</t>
  </si>
  <si>
    <t>(1.39523113403667e+01dB,-4.52271443435097e+00°)</t>
  </si>
  <si>
    <t>(1.39365452795128e+01dB,-5.68686695001038e+00°)</t>
  </si>
  <si>
    <t>(1.39116744083962e+01dB,-7.14566466802581e+00°)</t>
  </si>
  <si>
    <t>(1.38725461816409e+01dB,-8.96881082922133e+00°)</t>
  </si>
  <si>
    <t>(1.38112453204412e+01dB,-1.12378409846242e+01°)</t>
  </si>
  <si>
    <t>(1.37158283648994e+01dB,-1.40436910015373e+01°)</t>
  </si>
  <si>
    <t>(1.35687699856098e+01dB,-1.74794872213252e+01°)</t>
  </si>
  <si>
    <t>(1.33454418963892e+01dB,-2.16254636623916e+01°)</t>
  </si>
  <si>
    <t>(1.30134559037770e+01dB,-2.65233773891509e+01°)</t>
  </si>
  <si>
    <t>(1.25343299705151e+01dB,-3.21419076353421e+01°)</t>
  </si>
  <si>
    <t>(1.18690207319147e+01dB,-3.83442141715951e+01°)</t>
  </si>
  <si>
    <t>(1.09872633056798e+01dB,-4.48799368167269e+01°)</t>
  </si>
  <si>
    <t>(9.87725764240691e+00dB,-5.14218873629769e+01°)</t>
  </si>
  <si>
    <t>(8.55000142949380e+00dB,-5.76413569638678e+01°)</t>
  </si>
  <si>
    <t>(7.03524206896136e+00dB,-6.32842479079494e+01°)</t>
  </si>
  <si>
    <t>(5.37188419422657e+00dB,-6.82095001614602e+01°)</t>
  </si>
  <si>
    <t>(3.59855390028506e+00dB,-7.23824492840035e+01°)</t>
  </si>
  <si>
    <t>(1.74790989461072e+00dB,-7.58428341936503e+01°)</t>
  </si>
  <si>
    <t>(-1.55139534795003e-01dB,-7.86700042656434e+01°)</t>
  </si>
  <si>
    <t>(-2.09283517908516e+00dB,-8.09569389209623e+01°)</t>
  </si>
  <si>
    <t>(-4.05305885461547e+00dB,-8.27948180481373e+01°)</t>
  </si>
  <si>
    <t>(-6.02777294005600e+00dB,-8.42655830069554e+01°)</t>
  </si>
  <si>
    <t>(-8.01174252195516e+00dB,-8.54393767060296e+01°)</t>
  </si>
  <si>
    <t>(-1.00015974817999e+01dB,-8.63745443029827e+01°)</t>
  </si>
  <si>
    <t>(-1.19951841789785e+01dB,-8.71187796579127e+01°)</t>
  </si>
  <si>
    <t>(-1.39911327800808e+01dB,-8.77106533598157e+01°)</t>
  </si>
  <si>
    <t>(-1.59885745741862e+01dB,-8.81811501673232e+01°)</t>
  </si>
  <si>
    <t>(-1.79869596796911e+01dB,-8.85550571172595e+01°)</t>
  </si>
  <si>
    <t>(-1.99859404410920e+01dB,-8.88521512723990e+01°)</t>
  </si>
  <si>
    <t>(-2.19852972219125e+01dB,-8.90881863303862e+01°)</t>
  </si>
  <si>
    <t>(-2.39848913290246e+01dB,-8.92756980926592e+01°)</t>
  </si>
  <si>
    <t>(-2.59846352084059e+01dB,-8.94246552343310e+01°)</t>
  </si>
  <si>
    <t>(-2.79844735994483e+01dB,-8.95429817390715e+01°)</t>
  </si>
  <si>
    <t>(-2.99843716279953e+01dB,-8.96369746502978e+01°)</t>
  </si>
  <si>
    <t>(-3.19843072871261e+01dB,-8.97116372907739e+01°)</t>
  </si>
  <si>
    <t>(-3.39842666902917e+01dB,-8.97709446445006e+01°)</t>
  </si>
  <si>
    <t>(-3.59842410752256e+01dB,-8.98180545061016e+01°)</t>
  </si>
  <si>
    <t>(-3.79842249131337e+01dB,-8.98554753777348e+01°)</t>
  </si>
  <si>
    <t>(-3.99842147155123e+01dB,-8.98851999220682e+01°)</t>
  </si>
  <si>
    <t>(-4.19842082812357e+01dB,-8.99088110117167e+01°)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</si>
</sst>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L18" sqref="L18"/>
    </sheetView>
  </sheetViews>
  <sheetFormatPr defaultColWidth="8.7109375" defaultRowHeight="15" x14ac:dyDescent="0.25"/>
  <cols>
    <col min="1" max="1" width="10.5703125" bestFit="1" customWidth="1"/>
    <col min="2" max="2" width="11.85546875" bestFit="1" customWidth="1"/>
    <col min="9" max="9" width="11.5703125" customWidth="1"/>
  </cols>
  <sheetData>
    <row r="1" spans="1:11" x14ac:dyDescent="0.25">
      <c r="A1" s="1" t="s">
        <v>6</v>
      </c>
      <c r="B1" s="1" t="s">
        <v>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12</v>
      </c>
      <c r="C2" s="2"/>
    </row>
    <row r="3" spans="1:11" x14ac:dyDescent="0.25">
      <c r="A3" s="3">
        <v>1</v>
      </c>
      <c r="B3" s="3" t="s">
        <v>13</v>
      </c>
      <c r="C3" s="2"/>
      <c r="H3">
        <f>VALUE(MID(B3,2,FIND("dB",B3)-2))</f>
        <v>13.979398372194799</v>
      </c>
      <c r="I3">
        <f>10^(H3/20)</f>
        <v>4.9999990130398402</v>
      </c>
      <c r="J3">
        <f>VALUE(MID(B3,FIND(",",B3)+1,FIND("°",B3)-FIND(",",B3)-1))</f>
        <v>-3.5999995262590997E-2</v>
      </c>
    </row>
    <row r="4" spans="1:11" x14ac:dyDescent="0.25">
      <c r="A4" s="3">
        <v>1.2589254117941699</v>
      </c>
      <c r="B4" s="3" t="s">
        <v>14</v>
      </c>
      <c r="C4" s="2"/>
      <c r="H4">
        <f t="shared" ref="H4:H63" si="0">VALUE(MID(B4,2,FIND("dB",B4)-2))</f>
        <v>13.9793973693808</v>
      </c>
      <c r="I4">
        <f t="shared" ref="I4:I63" si="1">10^(H4/20)</f>
        <v>4.9999984357738443</v>
      </c>
      <c r="J4">
        <f t="shared" ref="J4:J63" si="2">VALUE(MID(B4,FIND(",",B4)+1,FIND("°",B4)-FIND(",",B4)-1))</f>
        <v>-4.53213053722177E-2</v>
      </c>
    </row>
    <row r="5" spans="1:11" x14ac:dyDescent="0.25">
      <c r="A5" s="3">
        <v>1.58489319246111</v>
      </c>
      <c r="B5" s="3" t="s">
        <v>15</v>
      </c>
      <c r="C5" s="2"/>
      <c r="H5">
        <f t="shared" si="0"/>
        <v>13.9793957800282</v>
      </c>
      <c r="I5">
        <f t="shared" si="1"/>
        <v>4.9999975208693153</v>
      </c>
      <c r="J5">
        <f t="shared" si="2"/>
        <v>-5.7056136068641898E-2</v>
      </c>
    </row>
    <row r="6" spans="1:11" x14ac:dyDescent="0.25">
      <c r="A6" s="3">
        <v>1.99526231496888</v>
      </c>
      <c r="B6" s="3" t="s">
        <v>16</v>
      </c>
      <c r="C6" s="2"/>
      <c r="H6">
        <f t="shared" si="0"/>
        <v>13.979393261075201</v>
      </c>
      <c r="I6">
        <f t="shared" si="1"/>
        <v>4.9999960708443369</v>
      </c>
      <c r="J6">
        <f t="shared" si="2"/>
        <v>-7.1829405708329006E-2</v>
      </c>
    </row>
    <row r="7" spans="1:11" x14ac:dyDescent="0.25">
      <c r="A7" s="3">
        <v>2.5118864315095801</v>
      </c>
      <c r="B7" s="3" t="s">
        <v>17</v>
      </c>
      <c r="C7" s="2"/>
      <c r="H7">
        <f t="shared" si="0"/>
        <v>13.9793892688068</v>
      </c>
      <c r="I7">
        <f t="shared" si="1"/>
        <v>4.9999937727122452</v>
      </c>
      <c r="J7">
        <f t="shared" si="2"/>
        <v>-9.0427836451566698E-2</v>
      </c>
    </row>
    <row r="8" spans="1:11" x14ac:dyDescent="0.25">
      <c r="A8" s="3">
        <v>3.16227766016838</v>
      </c>
      <c r="B8" s="3" t="s">
        <v>18</v>
      </c>
      <c r="C8" s="2"/>
      <c r="H8">
        <f t="shared" si="0"/>
        <v>13.979382941495301</v>
      </c>
      <c r="I8">
        <f t="shared" si="1"/>
        <v>4.9999901304248224</v>
      </c>
      <c r="J8">
        <f t="shared" si="2"/>
        <v>-0.11384184595635501</v>
      </c>
    </row>
    <row r="9" spans="1:11" x14ac:dyDescent="0.25">
      <c r="A9" s="3">
        <v>3.98107170553497</v>
      </c>
      <c r="B9" s="3" t="s">
        <v>19</v>
      </c>
      <c r="C9" s="2"/>
      <c r="H9">
        <f t="shared" si="0"/>
        <v>13.9793729134012</v>
      </c>
      <c r="I9">
        <f t="shared" si="1"/>
        <v>4.9999843578045535</v>
      </c>
      <c r="J9">
        <f t="shared" si="2"/>
        <v>-0.143318282490011</v>
      </c>
    </row>
    <row r="10" spans="1:11" x14ac:dyDescent="0.25">
      <c r="A10" s="3">
        <v>5.0118723362727202</v>
      </c>
      <c r="B10" s="3" t="s">
        <v>20</v>
      </c>
      <c r="C10" s="2"/>
      <c r="H10">
        <f t="shared" si="0"/>
        <v>13.979357019990699</v>
      </c>
      <c r="I10">
        <f t="shared" si="1"/>
        <v>4.9999752088590208</v>
      </c>
      <c r="J10">
        <f t="shared" si="2"/>
        <v>-0.18042680770476899</v>
      </c>
    </row>
    <row r="11" spans="1:11" x14ac:dyDescent="0.25">
      <c r="A11" s="3">
        <v>6.3095734448019396</v>
      </c>
      <c r="B11" s="3" t="s">
        <v>21</v>
      </c>
      <c r="C11" s="2"/>
      <c r="H11">
        <f t="shared" si="0"/>
        <v>13.979331830751599</v>
      </c>
      <c r="I11">
        <f t="shared" si="1"/>
        <v>4.9999607088603284</v>
      </c>
      <c r="J11">
        <f t="shared" si="2"/>
        <v>-0.22714345404047301</v>
      </c>
    </row>
    <row r="12" spans="1:11" x14ac:dyDescent="0.25">
      <c r="A12" s="3">
        <v>7.9432823472428202</v>
      </c>
      <c r="B12" s="3" t="s">
        <v>22</v>
      </c>
      <c r="C12" s="2"/>
      <c r="H12">
        <f t="shared" si="0"/>
        <v>13.9792919087973</v>
      </c>
      <c r="I12">
        <f t="shared" si="1"/>
        <v>4.9999377281695159</v>
      </c>
      <c r="J12">
        <f t="shared" si="2"/>
        <v>-0.28595579020675799</v>
      </c>
    </row>
    <row r="13" spans="1:11" x14ac:dyDescent="0.25">
      <c r="A13" s="3">
        <v>10</v>
      </c>
      <c r="B13" s="3" t="s">
        <v>23</v>
      </c>
      <c r="C13" s="2"/>
      <c r="H13">
        <f t="shared" si="0"/>
        <v>13.9792286375154</v>
      </c>
      <c r="I13">
        <f t="shared" si="1"/>
        <v>4.9999013068781508</v>
      </c>
      <c r="J13">
        <f t="shared" si="2"/>
        <v>-0.35999526270210003</v>
      </c>
    </row>
    <row r="14" spans="1:11" x14ac:dyDescent="0.25">
      <c r="A14" s="3">
        <v>12.589254117941699</v>
      </c>
      <c r="B14" s="3" t="s">
        <v>24</v>
      </c>
      <c r="C14" s="2"/>
      <c r="H14">
        <f t="shared" si="0"/>
        <v>13.979128361179599</v>
      </c>
      <c r="I14">
        <f t="shared" si="1"/>
        <v>4.9998435846517335</v>
      </c>
      <c r="J14">
        <f t="shared" si="2"/>
        <v>-0.453203696224872</v>
      </c>
    </row>
    <row r="15" spans="1:11" x14ac:dyDescent="0.25">
      <c r="A15" s="3">
        <v>15.848931924611099</v>
      </c>
      <c r="B15" s="3" t="s">
        <v>25</v>
      </c>
      <c r="C15" s="2"/>
      <c r="H15">
        <f t="shared" si="0"/>
        <v>13.978969438640201</v>
      </c>
      <c r="I15">
        <f t="shared" si="1"/>
        <v>4.999752105182953</v>
      </c>
      <c r="J15">
        <f t="shared" si="2"/>
        <v>-0.57054269043871797</v>
      </c>
    </row>
    <row r="16" spans="1:11" x14ac:dyDescent="0.25">
      <c r="A16" s="3">
        <v>19.952623149688801</v>
      </c>
      <c r="B16" s="3" t="s">
        <v>26</v>
      </c>
      <c r="C16" s="2"/>
      <c r="H16">
        <f t="shared" si="0"/>
        <v>13.9787175753012</v>
      </c>
      <c r="I16">
        <f t="shared" si="1"/>
        <v>4.9996071302805731</v>
      </c>
      <c r="J16">
        <f t="shared" si="2"/>
        <v>-0.71825680635083899</v>
      </c>
    </row>
    <row r="17" spans="1:10" x14ac:dyDescent="0.25">
      <c r="A17" s="3">
        <v>25.118864315095799</v>
      </c>
      <c r="B17" s="3" t="s">
        <v>27</v>
      </c>
      <c r="C17" s="2"/>
      <c r="H17">
        <f t="shared" si="0"/>
        <v>13.9783184287271</v>
      </c>
      <c r="I17">
        <f t="shared" si="1"/>
        <v>4.9993773863752331</v>
      </c>
      <c r="J17">
        <f t="shared" si="2"/>
        <v>-0.90420404367260798</v>
      </c>
    </row>
    <row r="18" spans="1:10" x14ac:dyDescent="0.25">
      <c r="A18" s="3">
        <v>31.6227766016838</v>
      </c>
      <c r="B18" s="3" t="s">
        <v>28</v>
      </c>
      <c r="C18" s="2"/>
      <c r="H18">
        <f t="shared" si="0"/>
        <v>13.977685899173199</v>
      </c>
      <c r="I18">
        <f t="shared" si="1"/>
        <v>4.9990133316910637</v>
      </c>
      <c r="J18">
        <f t="shared" si="2"/>
        <v>-1.1382701830745401</v>
      </c>
    </row>
    <row r="19" spans="1:10" x14ac:dyDescent="0.25">
      <c r="A19" s="3">
        <v>39.810717055349798</v>
      </c>
      <c r="B19" s="3" t="s">
        <v>29</v>
      </c>
      <c r="C19" s="2"/>
      <c r="H19">
        <f t="shared" si="0"/>
        <v>13.9766835960588</v>
      </c>
      <c r="I19">
        <f t="shared" si="1"/>
        <v>4.9984365067764278</v>
      </c>
      <c r="J19">
        <f t="shared" si="2"/>
        <v>-1.4328870157873099</v>
      </c>
    </row>
    <row r="20" spans="1:10" x14ac:dyDescent="0.25">
      <c r="A20" s="3">
        <v>50.118723362727302</v>
      </c>
      <c r="B20" s="3" t="s">
        <v>30</v>
      </c>
      <c r="C20" s="2"/>
      <c r="H20">
        <f t="shared" si="0"/>
        <v>13.9750955263584</v>
      </c>
      <c r="I20">
        <f t="shared" si="1"/>
        <v>4.997522709769127</v>
      </c>
      <c r="J20">
        <f t="shared" si="2"/>
        <v>-1.8036779910652001</v>
      </c>
    </row>
    <row r="21" spans="1:10" x14ac:dyDescent="0.25">
      <c r="A21" s="3">
        <v>63.0957344480194</v>
      </c>
      <c r="B21" s="3" t="s">
        <v>31</v>
      </c>
      <c r="C21" s="2"/>
      <c r="H21">
        <f t="shared" si="0"/>
        <v>13.972579794404901</v>
      </c>
      <c r="I21">
        <f t="shared" si="1"/>
        <v>4.996075465149926</v>
      </c>
      <c r="J21">
        <f t="shared" si="2"/>
        <v>-2.2702575774049998</v>
      </c>
    </row>
    <row r="22" spans="1:10" x14ac:dyDescent="0.25">
      <c r="A22" s="3">
        <v>79.432823472428197</v>
      </c>
      <c r="B22" s="3" t="s">
        <v>32</v>
      </c>
      <c r="C22" s="2"/>
      <c r="H22">
        <f t="shared" si="0"/>
        <v>13.9685956106437</v>
      </c>
      <c r="I22">
        <f t="shared" si="1"/>
        <v>4.993784310296788</v>
      </c>
      <c r="J22">
        <f t="shared" si="2"/>
        <v>-2.8572108577955802</v>
      </c>
    </row>
    <row r="23" spans="1:10" x14ac:dyDescent="0.25">
      <c r="A23" s="3">
        <v>100</v>
      </c>
      <c r="B23" s="3" t="s">
        <v>33</v>
      </c>
      <c r="C23" s="2"/>
      <c r="H23">
        <f t="shared" si="0"/>
        <v>13.9622885823758</v>
      </c>
      <c r="I23">
        <f t="shared" si="1"/>
        <v>4.990159522518228</v>
      </c>
      <c r="J23">
        <f t="shared" si="2"/>
        <v>-3.59527377986818</v>
      </c>
    </row>
    <row r="24" spans="1:10" x14ac:dyDescent="0.25">
      <c r="A24" s="3">
        <v>125.89254117941699</v>
      </c>
      <c r="B24" s="3" t="s">
        <v>34</v>
      </c>
      <c r="C24" s="2"/>
      <c r="H24">
        <f t="shared" si="0"/>
        <v>13.9523113403667</v>
      </c>
      <c r="I24">
        <f t="shared" si="1"/>
        <v>4.9844307546923794</v>
      </c>
      <c r="J24">
        <f t="shared" si="2"/>
        <v>-4.52271443435097</v>
      </c>
    </row>
    <row r="25" spans="1:10" x14ac:dyDescent="0.25">
      <c r="A25" s="3">
        <v>158.48931924611199</v>
      </c>
      <c r="B25" s="3" t="s">
        <v>35</v>
      </c>
      <c r="C25" s="2"/>
      <c r="H25">
        <f t="shared" si="0"/>
        <v>13.936545279512799</v>
      </c>
      <c r="I25">
        <f t="shared" si="1"/>
        <v>4.9753915469697425</v>
      </c>
      <c r="J25">
        <f t="shared" si="2"/>
        <v>-5.6868669500103799</v>
      </c>
    </row>
    <row r="26" spans="1:10" x14ac:dyDescent="0.25">
      <c r="A26" s="3">
        <v>199.52623149688799</v>
      </c>
      <c r="B26" s="3" t="s">
        <v>36</v>
      </c>
      <c r="C26" s="2"/>
      <c r="H26">
        <f t="shared" si="0"/>
        <v>13.9116744083962</v>
      </c>
      <c r="I26">
        <f t="shared" si="1"/>
        <v>4.9611655624902706</v>
      </c>
      <c r="J26">
        <f t="shared" si="2"/>
        <v>-7.1456646680258098</v>
      </c>
    </row>
    <row r="27" spans="1:10" x14ac:dyDescent="0.25">
      <c r="A27" s="3">
        <v>251.188643150958</v>
      </c>
      <c r="B27" s="3" t="s">
        <v>37</v>
      </c>
      <c r="C27" s="2"/>
      <c r="H27">
        <f t="shared" si="0"/>
        <v>13.872546181640899</v>
      </c>
      <c r="I27">
        <f t="shared" si="1"/>
        <v>4.9388667496884677</v>
      </c>
      <c r="J27">
        <f t="shared" si="2"/>
        <v>-8.9688108292213293</v>
      </c>
    </row>
    <row r="28" spans="1:10" x14ac:dyDescent="0.25">
      <c r="A28" s="3">
        <v>316.22776601683802</v>
      </c>
      <c r="B28" s="3" t="s">
        <v>38</v>
      </c>
      <c r="C28" s="2"/>
      <c r="H28">
        <f t="shared" si="0"/>
        <v>13.8112453204412</v>
      </c>
      <c r="I28">
        <f t="shared" si="1"/>
        <v>4.9041332969092295</v>
      </c>
      <c r="J28">
        <f t="shared" si="2"/>
        <v>-11.237840984624199</v>
      </c>
    </row>
    <row r="29" spans="1:10" x14ac:dyDescent="0.25">
      <c r="A29" s="3">
        <v>398.10717055349801</v>
      </c>
      <c r="B29" s="3" t="s">
        <v>39</v>
      </c>
      <c r="C29" s="2"/>
      <c r="H29">
        <f t="shared" si="0"/>
        <v>13.7158283648994</v>
      </c>
      <c r="I29">
        <f t="shared" si="1"/>
        <v>4.8505548310162983</v>
      </c>
      <c r="J29">
        <f t="shared" si="2"/>
        <v>-14.043691001537301</v>
      </c>
    </row>
    <row r="30" spans="1:10" x14ac:dyDescent="0.25">
      <c r="A30" s="3">
        <v>501.18723362727297</v>
      </c>
      <c r="B30" s="3" t="s">
        <v>40</v>
      </c>
      <c r="C30" s="2"/>
      <c r="H30">
        <f t="shared" si="0"/>
        <v>13.5687699856098</v>
      </c>
      <c r="I30">
        <f t="shared" si="1"/>
        <v>4.769122734848489</v>
      </c>
      <c r="J30">
        <f t="shared" si="2"/>
        <v>-17.479487221325201</v>
      </c>
    </row>
    <row r="31" spans="1:10" x14ac:dyDescent="0.25">
      <c r="A31" s="3">
        <v>630.95734448019402</v>
      </c>
      <c r="B31" s="3" t="s">
        <v>41</v>
      </c>
      <c r="C31" s="2"/>
      <c r="H31">
        <f t="shared" si="0"/>
        <v>13.3454418963892</v>
      </c>
      <c r="I31">
        <f t="shared" si="1"/>
        <v>4.6480639520515847</v>
      </c>
      <c r="J31">
        <f t="shared" si="2"/>
        <v>-21.625463662391599</v>
      </c>
    </row>
    <row r="32" spans="1:10" x14ac:dyDescent="0.25">
      <c r="A32" s="3">
        <v>794.32823472428299</v>
      </c>
      <c r="B32" s="3" t="s">
        <v>42</v>
      </c>
      <c r="C32" s="2"/>
      <c r="H32">
        <f t="shared" si="0"/>
        <v>13.013455903777</v>
      </c>
      <c r="I32">
        <f t="shared" si="1"/>
        <v>4.4737611643488373</v>
      </c>
      <c r="J32">
        <f t="shared" si="2"/>
        <v>-26.523377389150902</v>
      </c>
    </row>
    <row r="33" spans="1:10" x14ac:dyDescent="0.25">
      <c r="A33" s="3">
        <v>1000</v>
      </c>
      <c r="B33" s="3" t="s">
        <v>43</v>
      </c>
      <c r="C33" s="2"/>
      <c r="H33">
        <f t="shared" si="0"/>
        <v>12.534329970515101</v>
      </c>
      <c r="I33">
        <f t="shared" si="1"/>
        <v>4.2336650798241582</v>
      </c>
      <c r="J33">
        <f t="shared" si="2"/>
        <v>-32.1419076353421</v>
      </c>
    </row>
    <row r="34" spans="1:10" x14ac:dyDescent="0.25">
      <c r="A34" s="3">
        <v>1258.92541179417</v>
      </c>
      <c r="B34" s="3" t="s">
        <v>44</v>
      </c>
      <c r="C34" s="2"/>
      <c r="H34">
        <f t="shared" si="0"/>
        <v>11.8690207319147</v>
      </c>
      <c r="I34">
        <f t="shared" si="1"/>
        <v>3.9214893202666157</v>
      </c>
      <c r="J34">
        <f t="shared" si="2"/>
        <v>-38.344214171595098</v>
      </c>
    </row>
    <row r="35" spans="1:10" x14ac:dyDescent="0.25">
      <c r="A35" s="3">
        <v>1584.89319246112</v>
      </c>
      <c r="B35" s="3" t="s">
        <v>45</v>
      </c>
      <c r="C35" s="2"/>
      <c r="H35">
        <f t="shared" si="0"/>
        <v>10.9872633056798</v>
      </c>
      <c r="I35">
        <f t="shared" si="1"/>
        <v>3.5429348417807787</v>
      </c>
      <c r="J35">
        <f t="shared" si="2"/>
        <v>-44.879936816726897</v>
      </c>
    </row>
    <row r="36" spans="1:10" x14ac:dyDescent="0.25">
      <c r="A36" s="3">
        <v>1995.26231496888</v>
      </c>
      <c r="B36" s="3" t="s">
        <v>46</v>
      </c>
      <c r="C36" s="2"/>
      <c r="H36">
        <f t="shared" si="0"/>
        <v>9.8772576424069101</v>
      </c>
      <c r="I36">
        <f t="shared" si="1"/>
        <v>3.1179050262865662</v>
      </c>
      <c r="J36">
        <f t="shared" si="2"/>
        <v>-51.421887362976904</v>
      </c>
    </row>
    <row r="37" spans="1:10" x14ac:dyDescent="0.25">
      <c r="A37" s="3">
        <v>2511.8864315095798</v>
      </c>
      <c r="B37" s="3" t="s">
        <v>47</v>
      </c>
      <c r="C37" s="2"/>
      <c r="H37">
        <f t="shared" si="0"/>
        <v>8.5500014294938005</v>
      </c>
      <c r="I37">
        <f t="shared" si="1"/>
        <v>2.6760860336203187</v>
      </c>
      <c r="J37">
        <f t="shared" si="2"/>
        <v>-57.6413569638678</v>
      </c>
    </row>
    <row r="38" spans="1:10" x14ac:dyDescent="0.25">
      <c r="A38" s="3">
        <v>3162.27766016839</v>
      </c>
      <c r="B38" s="3" t="s">
        <v>48</v>
      </c>
      <c r="C38" s="2"/>
      <c r="H38">
        <f t="shared" si="0"/>
        <v>7.0352420689613604</v>
      </c>
      <c r="I38">
        <f t="shared" si="1"/>
        <v>2.2478229626928901</v>
      </c>
      <c r="J38">
        <f t="shared" si="2"/>
        <v>-63.2842479079494</v>
      </c>
    </row>
    <row r="39" spans="1:10" x14ac:dyDescent="0.25">
      <c r="A39" s="3">
        <v>3981.0717055349801</v>
      </c>
      <c r="B39" s="3" t="s">
        <v>49</v>
      </c>
      <c r="C39" s="2"/>
      <c r="H39">
        <f t="shared" si="0"/>
        <v>5.3718841942265696</v>
      </c>
      <c r="I39">
        <f t="shared" si="1"/>
        <v>1.8560693952475451</v>
      </c>
      <c r="J39">
        <f t="shared" si="2"/>
        <v>-68.209500161460198</v>
      </c>
    </row>
    <row r="40" spans="1:10" x14ac:dyDescent="0.25">
      <c r="A40" s="3">
        <v>5011.8723362727296</v>
      </c>
      <c r="B40" s="3" t="s">
        <v>50</v>
      </c>
      <c r="C40" s="2"/>
      <c r="H40">
        <f t="shared" si="0"/>
        <v>3.5985539002850602</v>
      </c>
      <c r="I40">
        <f t="shared" si="1"/>
        <v>1.5133092790479683</v>
      </c>
      <c r="J40">
        <f t="shared" si="2"/>
        <v>-72.382449284003499</v>
      </c>
    </row>
    <row r="41" spans="1:10" x14ac:dyDescent="0.25">
      <c r="A41" s="3">
        <v>6309.5734448019502</v>
      </c>
      <c r="B41" s="3" t="s">
        <v>51</v>
      </c>
      <c r="C41" s="2"/>
      <c r="H41">
        <f t="shared" si="0"/>
        <v>1.7479098946107201</v>
      </c>
      <c r="I41">
        <f t="shared" si="1"/>
        <v>1.2229128113487218</v>
      </c>
      <c r="J41">
        <f t="shared" si="2"/>
        <v>-75.842834193650305</v>
      </c>
    </row>
    <row r="42" spans="1:10" x14ac:dyDescent="0.25">
      <c r="A42" s="3">
        <v>7943.2823472428299</v>
      </c>
      <c r="B42" s="3" t="s">
        <v>52</v>
      </c>
      <c r="C42" s="2"/>
      <c r="H42">
        <f t="shared" si="0"/>
        <v>-0.155139534795003</v>
      </c>
      <c r="I42">
        <f t="shared" si="1"/>
        <v>0.98229746497543613</v>
      </c>
      <c r="J42">
        <f t="shared" si="2"/>
        <v>-78.670004265643399</v>
      </c>
    </row>
    <row r="43" spans="1:10" x14ac:dyDescent="0.25">
      <c r="A43" s="3">
        <v>10000</v>
      </c>
      <c r="B43" s="3" t="s">
        <v>53</v>
      </c>
      <c r="C43" s="2"/>
      <c r="H43">
        <f t="shared" si="0"/>
        <v>-2.09283517908516</v>
      </c>
      <c r="I43">
        <f t="shared" si="1"/>
        <v>0.78588362738794759</v>
      </c>
      <c r="J43">
        <f t="shared" si="2"/>
        <v>-80.956938920962301</v>
      </c>
    </row>
    <row r="44" spans="1:10" x14ac:dyDescent="0.25">
      <c r="A44" s="3">
        <v>12589.2541179417</v>
      </c>
      <c r="B44" s="3" t="s">
        <v>54</v>
      </c>
      <c r="C44" s="2"/>
      <c r="H44">
        <f t="shared" si="0"/>
        <v>-4.05305885461547</v>
      </c>
      <c r="I44">
        <f t="shared" si="1"/>
        <v>0.6271148100506162</v>
      </c>
      <c r="J44">
        <f t="shared" si="2"/>
        <v>-82.794818048137302</v>
      </c>
    </row>
    <row r="45" spans="1:10" x14ac:dyDescent="0.25">
      <c r="A45" s="3">
        <v>15848.931924611201</v>
      </c>
      <c r="B45" s="3" t="s">
        <v>55</v>
      </c>
      <c r="C45" s="2"/>
      <c r="H45">
        <f t="shared" si="0"/>
        <v>-6.0277729400559998</v>
      </c>
      <c r="I45">
        <f t="shared" si="1"/>
        <v>0.49958725783672908</v>
      </c>
      <c r="J45">
        <f t="shared" si="2"/>
        <v>-84.265583006955396</v>
      </c>
    </row>
    <row r="46" spans="1:10" x14ac:dyDescent="0.25">
      <c r="A46" s="3">
        <v>19952.623149688799</v>
      </c>
      <c r="B46" s="3" t="s">
        <v>56</v>
      </c>
      <c r="C46" s="2"/>
      <c r="H46">
        <f t="shared" si="0"/>
        <v>-8.0117425219551599</v>
      </c>
      <c r="I46">
        <f t="shared" si="1"/>
        <v>0.39756933000156303</v>
      </c>
      <c r="J46">
        <f t="shared" si="2"/>
        <v>-85.439376706029606</v>
      </c>
    </row>
    <row r="47" spans="1:10" x14ac:dyDescent="0.25">
      <c r="A47" s="3">
        <v>25118.8643150959</v>
      </c>
      <c r="B47" s="3" t="s">
        <v>57</v>
      </c>
      <c r="C47" s="2"/>
      <c r="H47">
        <f t="shared" si="0"/>
        <v>-10.0015974817999</v>
      </c>
      <c r="I47">
        <f t="shared" si="1"/>
        <v>0.3161696117378569</v>
      </c>
      <c r="J47">
        <f t="shared" si="2"/>
        <v>-86.374544302982699</v>
      </c>
    </row>
    <row r="48" spans="1:10" x14ac:dyDescent="0.25">
      <c r="A48" s="3">
        <v>31622.776601683901</v>
      </c>
      <c r="B48" s="3" t="s">
        <v>58</v>
      </c>
      <c r="C48" s="2"/>
      <c r="H48">
        <f t="shared" si="0"/>
        <v>-11.9951841789785</v>
      </c>
      <c r="I48">
        <f t="shared" si="1"/>
        <v>0.25132795127124952</v>
      </c>
      <c r="J48">
        <f t="shared" si="2"/>
        <v>-87.118779657912697</v>
      </c>
    </row>
    <row r="49" spans="1:10" x14ac:dyDescent="0.25">
      <c r="A49" s="3">
        <v>39810.7170553498</v>
      </c>
      <c r="B49" s="3" t="s">
        <v>59</v>
      </c>
      <c r="C49" s="2"/>
      <c r="H49">
        <f t="shared" si="0"/>
        <v>-13.9911327800808</v>
      </c>
      <c r="I49">
        <f t="shared" si="1"/>
        <v>0.1997300271291953</v>
      </c>
      <c r="J49">
        <f t="shared" si="2"/>
        <v>-87.710653359815694</v>
      </c>
    </row>
    <row r="50" spans="1:10" x14ac:dyDescent="0.25">
      <c r="A50" s="3">
        <v>50118.723362727404</v>
      </c>
      <c r="B50" s="3" t="s">
        <v>60</v>
      </c>
      <c r="C50" s="2"/>
      <c r="H50">
        <f t="shared" si="0"/>
        <v>-15.988574574186201</v>
      </c>
      <c r="I50">
        <f t="shared" si="1"/>
        <v>0.15869793339230523</v>
      </c>
      <c r="J50">
        <f t="shared" si="2"/>
        <v>-88.181150167323196</v>
      </c>
    </row>
    <row r="51" spans="1:10" x14ac:dyDescent="0.25">
      <c r="A51" s="3">
        <v>63095.734448019502</v>
      </c>
      <c r="B51" s="3" t="s">
        <v>61</v>
      </c>
      <c r="C51" s="2"/>
      <c r="H51">
        <f t="shared" si="0"/>
        <v>-17.9869596796911</v>
      </c>
      <c r="I51">
        <f t="shared" si="1"/>
        <v>0.12608168841609899</v>
      </c>
      <c r="J51">
        <f t="shared" si="2"/>
        <v>-88.555057117259494</v>
      </c>
    </row>
    <row r="52" spans="1:10" x14ac:dyDescent="0.25">
      <c r="A52" s="3">
        <v>79432.823472428398</v>
      </c>
      <c r="B52" s="3" t="s">
        <v>62</v>
      </c>
      <c r="C52" s="2"/>
      <c r="H52">
        <f t="shared" si="0"/>
        <v>-19.985940441092001</v>
      </c>
      <c r="I52">
        <f t="shared" si="1"/>
        <v>0.10016199772855874</v>
      </c>
      <c r="J52">
        <f t="shared" si="2"/>
        <v>-88.852151272398999</v>
      </c>
    </row>
    <row r="53" spans="1:10" x14ac:dyDescent="0.25">
      <c r="A53" s="3">
        <v>100000</v>
      </c>
      <c r="B53" s="3" t="s">
        <v>63</v>
      </c>
      <c r="C53" s="2"/>
      <c r="H53">
        <f t="shared" si="0"/>
        <v>-21.9852972219125</v>
      </c>
      <c r="I53">
        <f t="shared" si="1"/>
        <v>7.9567394855738327E-2</v>
      </c>
      <c r="J53">
        <f t="shared" si="2"/>
        <v>-89.088186330386193</v>
      </c>
    </row>
    <row r="54" spans="1:10" x14ac:dyDescent="0.25">
      <c r="A54" s="3">
        <v>125892.54117941701</v>
      </c>
      <c r="B54" s="3" t="s">
        <v>64</v>
      </c>
      <c r="C54" s="2"/>
      <c r="H54">
        <f t="shared" si="0"/>
        <v>-23.984891329024599</v>
      </c>
      <c r="I54">
        <f t="shared" si="1"/>
        <v>6.3205581834403488E-2</v>
      </c>
      <c r="J54">
        <f t="shared" si="2"/>
        <v>-89.275698092659198</v>
      </c>
    </row>
    <row r="55" spans="1:10" x14ac:dyDescent="0.25">
      <c r="A55" s="3">
        <v>158489.31924611199</v>
      </c>
      <c r="B55" s="3" t="s">
        <v>65</v>
      </c>
      <c r="C55" s="2"/>
      <c r="H55">
        <f t="shared" si="0"/>
        <v>-25.984635208405901</v>
      </c>
      <c r="I55">
        <f t="shared" si="1"/>
        <v>5.020745868754168E-2</v>
      </c>
      <c r="J55">
        <f t="shared" si="2"/>
        <v>-89.424655234330999</v>
      </c>
    </row>
    <row r="56" spans="1:10" x14ac:dyDescent="0.25">
      <c r="A56" s="3">
        <v>199526.231496889</v>
      </c>
      <c r="B56" s="3" t="s">
        <v>66</v>
      </c>
      <c r="C56" s="2"/>
      <c r="H56">
        <f t="shared" si="0"/>
        <v>-27.9844735994483</v>
      </c>
      <c r="I56">
        <f t="shared" si="1"/>
        <v>3.9881944062578306E-2</v>
      </c>
      <c r="J56">
        <f t="shared" si="2"/>
        <v>-89.542981739071493</v>
      </c>
    </row>
    <row r="57" spans="1:10" x14ac:dyDescent="0.25">
      <c r="A57" s="3">
        <v>251188.64315095899</v>
      </c>
      <c r="B57" s="3" t="s">
        <v>67</v>
      </c>
      <c r="C57" s="2"/>
      <c r="H57">
        <f t="shared" si="0"/>
        <v>-29.984371627995301</v>
      </c>
      <c r="I57">
        <f t="shared" si="1"/>
        <v>3.1679726139151106E-2</v>
      </c>
      <c r="J57">
        <f t="shared" si="2"/>
        <v>-89.636974650297802</v>
      </c>
    </row>
    <row r="58" spans="1:10" x14ac:dyDescent="0.25">
      <c r="A58" s="3">
        <v>316227.76601683901</v>
      </c>
      <c r="B58" s="3" t="s">
        <v>68</v>
      </c>
      <c r="C58" s="2"/>
      <c r="H58">
        <f t="shared" si="0"/>
        <v>-31.9843072871261</v>
      </c>
      <c r="I58">
        <f t="shared" si="1"/>
        <v>2.5164287344839241E-2</v>
      </c>
      <c r="J58">
        <f t="shared" si="2"/>
        <v>-89.711637290773893</v>
      </c>
    </row>
    <row r="59" spans="1:10" x14ac:dyDescent="0.25">
      <c r="A59" s="3">
        <v>398107.17055349803</v>
      </c>
      <c r="B59" s="3" t="s">
        <v>69</v>
      </c>
      <c r="C59" s="2"/>
      <c r="H59">
        <f t="shared" si="0"/>
        <v>-33.984266690291697</v>
      </c>
      <c r="I59">
        <f t="shared" si="1"/>
        <v>1.9988797369808329E-2</v>
      </c>
      <c r="J59">
        <f t="shared" si="2"/>
        <v>-89.770944644500602</v>
      </c>
    </row>
    <row r="60" spans="1:10" x14ac:dyDescent="0.25">
      <c r="A60" s="3">
        <v>501187.23362727399</v>
      </c>
      <c r="B60" s="3" t="s">
        <v>70</v>
      </c>
      <c r="C60" s="2"/>
      <c r="H60">
        <f t="shared" si="0"/>
        <v>-35.984241075225597</v>
      </c>
      <c r="I60">
        <f t="shared" si="1"/>
        <v>1.5877712953017837E-2</v>
      </c>
      <c r="J60">
        <f t="shared" si="2"/>
        <v>-89.818054506101603</v>
      </c>
    </row>
    <row r="61" spans="1:10" x14ac:dyDescent="0.25">
      <c r="A61" s="3">
        <v>630957.34448019497</v>
      </c>
      <c r="B61" s="3" t="s">
        <v>71</v>
      </c>
      <c r="C61" s="2"/>
      <c r="H61">
        <f t="shared" si="0"/>
        <v>-37.984224913133701</v>
      </c>
      <c r="I61">
        <f t="shared" si="1"/>
        <v>1.2612139169188274E-2</v>
      </c>
      <c r="J61">
        <f t="shared" si="2"/>
        <v>-89.855475377734805</v>
      </c>
    </row>
    <row r="62" spans="1:10" x14ac:dyDescent="0.25">
      <c r="A62" s="3">
        <v>794328.23472428403</v>
      </c>
      <c r="B62" s="3" t="s">
        <v>72</v>
      </c>
      <c r="C62" s="2"/>
      <c r="H62">
        <f t="shared" si="0"/>
        <v>-39.984214715512302</v>
      </c>
      <c r="I62">
        <f t="shared" si="1"/>
        <v>1.0018190004152773E-2</v>
      </c>
      <c r="J62">
        <f t="shared" si="2"/>
        <v>-89.885199922068196</v>
      </c>
    </row>
    <row r="63" spans="1:10" x14ac:dyDescent="0.25">
      <c r="A63" s="3">
        <v>1000000</v>
      </c>
      <c r="B63" s="3" t="s">
        <v>73</v>
      </c>
      <c r="C63" s="2"/>
      <c r="H63">
        <f t="shared" si="0"/>
        <v>-41.984208281235702</v>
      </c>
      <c r="I63">
        <f t="shared" si="1"/>
        <v>7.9577370760094256E-3</v>
      </c>
      <c r="J63">
        <f t="shared" si="2"/>
        <v>-89.908811011716693</v>
      </c>
    </row>
    <row r="64" spans="1:10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  <row r="74" spans="2:3" x14ac:dyDescent="0.25">
      <c r="B74" s="2"/>
      <c r="C74" s="2"/>
    </row>
    <row r="75" spans="2:3" x14ac:dyDescent="0.25">
      <c r="B75" s="2"/>
      <c r="C75" s="2"/>
    </row>
    <row r="76" spans="2:3" x14ac:dyDescent="0.25">
      <c r="B76" s="2"/>
      <c r="C76" s="2"/>
    </row>
    <row r="77" spans="2:3" x14ac:dyDescent="0.25">
      <c r="B77" s="2"/>
      <c r="C77" s="2"/>
    </row>
    <row r="78" spans="2:3" x14ac:dyDescent="0.25">
      <c r="B78" s="2"/>
      <c r="C78" s="2"/>
    </row>
    <row r="79" spans="2:3" x14ac:dyDescent="0.25">
      <c r="B79" s="2"/>
      <c r="C79" s="2"/>
    </row>
    <row r="80" spans="2:3" x14ac:dyDescent="0.25">
      <c r="B80" s="2"/>
      <c r="C80" s="2"/>
    </row>
    <row r="81" spans="2:3" x14ac:dyDescent="0.25">
      <c r="B81" s="2"/>
      <c r="C81" s="2"/>
    </row>
    <row r="82" spans="2:3" x14ac:dyDescent="0.25">
      <c r="B82" s="2"/>
      <c r="C82" s="2"/>
    </row>
    <row r="83" spans="2:3" x14ac:dyDescent="0.25">
      <c r="B83" s="2"/>
      <c r="C83" s="2"/>
    </row>
    <row r="84" spans="2:3" x14ac:dyDescent="0.25">
      <c r="B84" s="2"/>
      <c r="C84" s="2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2"/>
      <c r="C90" s="2"/>
    </row>
    <row r="91" spans="2:3" x14ac:dyDescent="0.25">
      <c r="B91" s="2"/>
      <c r="C91" s="2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2" spans="2:3" x14ac:dyDescent="0.25">
      <c r="B122" s="2"/>
      <c r="C122" s="2"/>
    </row>
    <row r="123" spans="2:3" x14ac:dyDescent="0.25">
      <c r="B123" s="2"/>
      <c r="C123" s="2"/>
    </row>
    <row r="124" spans="2:3" x14ac:dyDescent="0.25">
      <c r="B124" s="2"/>
      <c r="C124" s="2"/>
    </row>
    <row r="125" spans="2:3" x14ac:dyDescent="0.25">
      <c r="B125" s="2"/>
      <c r="C125" s="2"/>
    </row>
    <row r="126" spans="2:3" x14ac:dyDescent="0.25">
      <c r="B126" s="2"/>
      <c r="C126" s="2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2"/>
      <c r="C132" s="2"/>
    </row>
    <row r="133" spans="2:3" x14ac:dyDescent="0.25">
      <c r="B133" s="2"/>
      <c r="C133" s="2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  <row r="144" spans="2:3" x14ac:dyDescent="0.25">
      <c r="B144" s="2"/>
      <c r="C144" s="2"/>
    </row>
    <row r="145" spans="2:3" x14ac:dyDescent="0.25">
      <c r="B145" s="2"/>
      <c r="C145" s="2"/>
    </row>
    <row r="146" spans="2:3" x14ac:dyDescent="0.25">
      <c r="B146" s="2"/>
      <c r="C146" s="2"/>
    </row>
    <row r="147" spans="2:3" x14ac:dyDescent="0.25">
      <c r="B147" s="2"/>
      <c r="C147" s="2"/>
    </row>
    <row r="148" spans="2:3" x14ac:dyDescent="0.25">
      <c r="B148" s="2"/>
      <c r="C148" s="2"/>
    </row>
    <row r="149" spans="2:3" x14ac:dyDescent="0.25">
      <c r="B149" s="2"/>
      <c r="C149" s="2"/>
    </row>
    <row r="150" spans="2:3" x14ac:dyDescent="0.25">
      <c r="B150" s="2"/>
      <c r="C150" s="2"/>
    </row>
    <row r="151" spans="2:3" x14ac:dyDescent="0.25">
      <c r="B151" s="2"/>
      <c r="C151" s="2"/>
    </row>
    <row r="152" spans="2:3" x14ac:dyDescent="0.25">
      <c r="B152" s="2"/>
      <c r="C152" s="2"/>
    </row>
    <row r="153" spans="2:3" x14ac:dyDescent="0.25">
      <c r="B153" s="2"/>
      <c r="C153" s="2"/>
    </row>
    <row r="154" spans="2:3" x14ac:dyDescent="0.25">
      <c r="B154" s="2"/>
      <c r="C154" s="2"/>
    </row>
    <row r="155" spans="2:3" x14ac:dyDescent="0.25">
      <c r="B155" s="2"/>
      <c r="C155" s="2"/>
    </row>
    <row r="156" spans="2:3" x14ac:dyDescent="0.25">
      <c r="B156" s="2"/>
      <c r="C156" s="2"/>
    </row>
    <row r="157" spans="2:3" x14ac:dyDescent="0.25">
      <c r="B157" s="2"/>
      <c r="C157" s="2"/>
    </row>
    <row r="158" spans="2:3" x14ac:dyDescent="0.25">
      <c r="B158" s="2"/>
      <c r="C158" s="2"/>
    </row>
    <row r="159" spans="2:3" x14ac:dyDescent="0.25">
      <c r="B159" s="2"/>
      <c r="C159" s="2"/>
    </row>
    <row r="160" spans="2:3" x14ac:dyDescent="0.25">
      <c r="B160" s="2"/>
      <c r="C160" s="2"/>
    </row>
    <row r="161" spans="2:3" x14ac:dyDescent="0.25">
      <c r="B161" s="2"/>
      <c r="C161" s="2"/>
    </row>
    <row r="162" spans="2:3" x14ac:dyDescent="0.25">
      <c r="B162" s="2"/>
      <c r="C162" s="2"/>
    </row>
    <row r="163" spans="2:3" x14ac:dyDescent="0.25">
      <c r="B163" s="2"/>
      <c r="C163" s="2"/>
    </row>
    <row r="164" spans="2:3" x14ac:dyDescent="0.25">
      <c r="B164" s="2"/>
      <c r="C164" s="2"/>
    </row>
    <row r="165" spans="2:3" x14ac:dyDescent="0.25">
      <c r="B165" s="2"/>
      <c r="C165" s="2"/>
    </row>
    <row r="166" spans="2:3" x14ac:dyDescent="0.25">
      <c r="B166" s="2"/>
      <c r="C166" s="2"/>
    </row>
    <row r="167" spans="2:3" x14ac:dyDescent="0.25">
      <c r="B167" s="2"/>
      <c r="C167" s="2"/>
    </row>
    <row r="168" spans="2:3" x14ac:dyDescent="0.25">
      <c r="B168" s="2"/>
      <c r="C168" s="2"/>
    </row>
    <row r="169" spans="2:3" x14ac:dyDescent="0.25">
      <c r="B169" s="2"/>
      <c r="C169" s="2"/>
    </row>
    <row r="170" spans="2:3" x14ac:dyDescent="0.25">
      <c r="B170" s="2"/>
      <c r="C170" s="2"/>
    </row>
    <row r="171" spans="2:3" x14ac:dyDescent="0.25">
      <c r="B171" s="2"/>
      <c r="C171" s="2"/>
    </row>
    <row r="172" spans="2:3" x14ac:dyDescent="0.25">
      <c r="B172" s="2"/>
      <c r="C172" s="2"/>
    </row>
    <row r="173" spans="2:3" x14ac:dyDescent="0.25">
      <c r="B173" s="2"/>
      <c r="C173" s="2"/>
    </row>
    <row r="174" spans="2:3" x14ac:dyDescent="0.25">
      <c r="B174" s="2"/>
      <c r="C174" s="2"/>
    </row>
    <row r="175" spans="2:3" x14ac:dyDescent="0.25">
      <c r="B175" s="2"/>
      <c r="C175" s="2"/>
    </row>
    <row r="176" spans="2:3" x14ac:dyDescent="0.25">
      <c r="B176" s="2"/>
      <c r="C176" s="2"/>
    </row>
    <row r="177" spans="2:3" x14ac:dyDescent="0.25">
      <c r="B177" s="2"/>
      <c r="C177" s="2"/>
    </row>
    <row r="178" spans="2:3" x14ac:dyDescent="0.25">
      <c r="B178" s="2"/>
      <c r="C178" s="2"/>
    </row>
    <row r="179" spans="2:3" x14ac:dyDescent="0.25">
      <c r="B179" s="2"/>
      <c r="C179" s="2"/>
    </row>
    <row r="180" spans="2:3" x14ac:dyDescent="0.25">
      <c r="B180" s="2"/>
      <c r="C180" s="2"/>
    </row>
    <row r="181" spans="2:3" x14ac:dyDescent="0.25">
      <c r="B181" s="2"/>
      <c r="C181" s="2"/>
    </row>
    <row r="182" spans="2:3" x14ac:dyDescent="0.25">
      <c r="B182" s="2"/>
      <c r="C182" s="2"/>
    </row>
    <row r="183" spans="2:3" x14ac:dyDescent="0.25">
      <c r="B183" s="2"/>
      <c r="C183" s="2"/>
    </row>
    <row r="184" spans="2:3" x14ac:dyDescent="0.25">
      <c r="B184" s="2"/>
      <c r="C184" s="2"/>
    </row>
    <row r="185" spans="2:3" x14ac:dyDescent="0.25">
      <c r="B185" s="2"/>
      <c r="C185" s="2"/>
    </row>
    <row r="186" spans="2:3" x14ac:dyDescent="0.25">
      <c r="B186" s="2"/>
      <c r="C186" s="2"/>
    </row>
    <row r="187" spans="2:3" x14ac:dyDescent="0.25">
      <c r="B187" s="2"/>
      <c r="C187" s="2"/>
    </row>
    <row r="188" spans="2:3" x14ac:dyDescent="0.25">
      <c r="B188" s="2"/>
      <c r="C188" s="2"/>
    </row>
    <row r="189" spans="2:3" x14ac:dyDescent="0.25">
      <c r="B189" s="2"/>
      <c r="C189" s="2"/>
    </row>
    <row r="190" spans="2:3" x14ac:dyDescent="0.25">
      <c r="B190" s="2"/>
      <c r="C190" s="2"/>
    </row>
    <row r="191" spans="2:3" x14ac:dyDescent="0.25">
      <c r="B191" s="2"/>
      <c r="C191" s="2"/>
    </row>
    <row r="192" spans="2:3" x14ac:dyDescent="0.25">
      <c r="B192" s="2"/>
      <c r="C192" s="2"/>
    </row>
    <row r="193" spans="2:3" x14ac:dyDescent="0.25">
      <c r="B193" s="2"/>
      <c r="C193" s="2"/>
    </row>
    <row r="194" spans="2:3" x14ac:dyDescent="0.25">
      <c r="B194" s="2"/>
      <c r="C194" s="2"/>
    </row>
    <row r="195" spans="2:3" x14ac:dyDescent="0.25">
      <c r="B195" s="2"/>
      <c r="C195" s="2"/>
    </row>
    <row r="196" spans="2:3" x14ac:dyDescent="0.25">
      <c r="B196" s="2"/>
      <c r="C196" s="2"/>
    </row>
    <row r="197" spans="2:3" x14ac:dyDescent="0.25">
      <c r="B197" s="2"/>
      <c r="C197" s="2"/>
    </row>
    <row r="198" spans="2:3" x14ac:dyDescent="0.25">
      <c r="B198" s="2"/>
      <c r="C198" s="2"/>
    </row>
    <row r="199" spans="2:3" x14ac:dyDescent="0.25">
      <c r="B199" s="2"/>
      <c r="C199" s="2"/>
    </row>
    <row r="200" spans="2:3" x14ac:dyDescent="0.25">
      <c r="B200" s="2"/>
      <c r="C200" s="2"/>
    </row>
    <row r="201" spans="2:3" x14ac:dyDescent="0.25">
      <c r="B201" s="2"/>
      <c r="C2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Zerres Leon GBS-ELO1b_2023</cp:lastModifiedBy>
  <dcterms:created xsi:type="dcterms:W3CDTF">2025-12-11T16:40:01Z</dcterms:created>
  <dcterms:modified xsi:type="dcterms:W3CDTF">2026-03-16T20:24:14Z</dcterms:modified>
</cp:coreProperties>
</file>